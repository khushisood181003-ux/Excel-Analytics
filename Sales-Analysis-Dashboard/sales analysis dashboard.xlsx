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E:\Khushi Sood\Data Science Intellipaat &amp; IIT Roorkee\excel all projects for GIT HUB\"/>
    </mc:Choice>
  </mc:AlternateContent>
  <xr:revisionPtr revIDLastSave="0" documentId="13_ncr:1_{572C55BE-C45D-4DF8-A865-972E3A24A03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 data" sheetId="1" r:id="rId1"/>
    <sheet name="KPI_Calculations" sheetId="2" r:id="rId2"/>
    <sheet name="Pivot_Tables" sheetId="5" r:id="rId3"/>
    <sheet name="Pivot_Charts" sheetId="7" r:id="rId4"/>
    <sheet name="Dashboard" sheetId="4" r:id="rId5"/>
  </sheets>
  <definedNames>
    <definedName name="Slicer_Quarte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4" l="1"/>
  <c r="D5" i="2"/>
  <c r="C5" i="2"/>
  <c r="B5" i="2"/>
  <c r="D4" i="2"/>
  <c r="C4" i="2"/>
  <c r="B4" i="2"/>
  <c r="D3" i="2"/>
  <c r="C3" i="2"/>
  <c r="B3" i="2"/>
  <c r="D2" i="2"/>
  <c r="C2" i="2"/>
  <c r="B2" i="2"/>
  <c r="F18" i="4"/>
  <c r="B18" i="4"/>
  <c r="J12" i="4"/>
  <c r="F12" i="4"/>
  <c r="B12" i="4"/>
  <c r="J6" i="4"/>
  <c r="B6" i="4"/>
  <c r="F6" i="4"/>
</calcChain>
</file>

<file path=xl/sharedStrings.xml><?xml version="1.0" encoding="utf-8"?>
<sst xmlns="http://schemas.openxmlformats.org/spreadsheetml/2006/main" count="148" uniqueCount="36">
  <si>
    <t>Product</t>
  </si>
  <si>
    <t>Sales</t>
  </si>
  <si>
    <t>Expenses</t>
  </si>
  <si>
    <t>Profit</t>
  </si>
  <si>
    <t>Region</t>
  </si>
  <si>
    <t>Quarter</t>
  </si>
  <si>
    <t>Product A</t>
  </si>
  <si>
    <t>Region 1</t>
  </si>
  <si>
    <t>Q1</t>
  </si>
  <si>
    <t>Product B</t>
  </si>
  <si>
    <t>Region 2</t>
  </si>
  <si>
    <t>Product C</t>
  </si>
  <si>
    <t>Q2</t>
  </si>
  <si>
    <t>Q3</t>
  </si>
  <si>
    <t>Q4</t>
  </si>
  <si>
    <t>Average sales</t>
  </si>
  <si>
    <t>Total expenses</t>
  </si>
  <si>
    <t>Maximum profit</t>
  </si>
  <si>
    <t>Row Labels</t>
  </si>
  <si>
    <t>Sum of Sales</t>
  </si>
  <si>
    <t>Sum of Expenses</t>
  </si>
  <si>
    <t>Sum of Profit</t>
  </si>
  <si>
    <t>Region 1 Total</t>
  </si>
  <si>
    <t>Region 2 Total</t>
  </si>
  <si>
    <t>Grand Total</t>
  </si>
  <si>
    <t>(All)</t>
  </si>
  <si>
    <t>Average of Sales</t>
  </si>
  <si>
    <t>Sales Analysis Dashboard</t>
  </si>
  <si>
    <t>Total Sales</t>
  </si>
  <si>
    <t>Profit Margin %</t>
  </si>
  <si>
    <t>Total Profit</t>
  </si>
  <si>
    <r>
      <rPr>
        <b/>
        <sz val="18"/>
        <color theme="1"/>
        <rFont val="Arial"/>
        <charset val="134"/>
      </rPr>
      <t>Business Recommendation Pane</t>
    </r>
    <r>
      <rPr>
        <sz val="18"/>
        <color theme="1"/>
        <rFont val="Arial"/>
        <charset val="134"/>
      </rPr>
      <t>l</t>
    </r>
  </si>
  <si>
    <t>Best Region</t>
  </si>
  <si>
    <t>Total Expenses</t>
  </si>
  <si>
    <t>Best Product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</si>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</sst>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8">
    <font>
      <sz val="11"/>
      <color theme="1"/>
      <name val="Arial"/>
      <charset val="134"/>
    </font>
    <font>
      <b/>
      <sz val="26"/>
      <color theme="0"/>
      <name val="Arial"/>
      <charset val="134"/>
    </font>
    <font>
      <b/>
      <sz val="14"/>
      <color theme="1"/>
      <name val="Arial"/>
      <charset val="134"/>
    </font>
    <font>
      <sz val="18"/>
      <color theme="1"/>
      <name val="Arial"/>
      <charset val="134"/>
    </font>
    <font>
      <b/>
      <sz val="18"/>
      <color theme="1"/>
      <name val="Arial"/>
      <charset val="134"/>
    </font>
    <font>
      <sz val="20"/>
      <color theme="1"/>
      <name val="Arial"/>
      <charset val="134"/>
    </font>
    <font>
      <sz val="11"/>
      <color theme="1"/>
      <name val="Arial"/>
      <charset val="134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0" fillId="4" borderId="4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11" xfId="0" applyFill="1" applyBorder="1"/>
    <xf numFmtId="1" fontId="0" fillId="5" borderId="9" xfId="0" applyNumberFormat="1" applyFill="1" applyBorder="1"/>
    <xf numFmtId="165" fontId="0" fillId="5" borderId="11" xfId="0" applyNumberFormat="1" applyFill="1" applyBorder="1"/>
    <xf numFmtId="1" fontId="0" fillId="5" borderId="10" xfId="0" applyNumberFormat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1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164" fontId="4" fillId="4" borderId="4" xfId="0" applyNumberFormat="1" applyFont="1" applyFill="1" applyBorder="1" applyAlignment="1">
      <alignment horizontal="center" wrapText="1"/>
    </xf>
    <xf numFmtId="164" fontId="4" fillId="4" borderId="0" xfId="0" applyNumberFormat="1" applyFont="1" applyFill="1" applyAlignment="1">
      <alignment horizontal="center" wrapText="1"/>
    </xf>
    <xf numFmtId="164" fontId="4" fillId="4" borderId="5" xfId="0" applyNumberFormat="1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1" fillId="3" borderId="0" xfId="0" applyFont="1" applyFill="1" applyAlignment="1">
      <alignment horizontal="right"/>
    </xf>
    <xf numFmtId="2" fontId="4" fillId="4" borderId="4" xfId="0" applyNumberFormat="1" applyFont="1" applyFill="1" applyBorder="1" applyAlignment="1">
      <alignment horizontal="center" wrapText="1"/>
    </xf>
    <xf numFmtId="2" fontId="4" fillId="4" borderId="0" xfId="0" applyNumberFormat="1" applyFont="1" applyFill="1" applyAlignment="1">
      <alignment horizontal="center" wrapText="1"/>
    </xf>
    <xf numFmtId="2" fontId="4" fillId="4" borderId="5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0" fontId="4" fillId="4" borderId="4" xfId="1" applyNumberFormat="1" applyFont="1" applyFill="1" applyBorder="1" applyAlignment="1">
      <alignment horizontal="center" wrapText="1"/>
    </xf>
    <xf numFmtId="10" fontId="4" fillId="4" borderId="0" xfId="1" applyNumberFormat="1" applyFont="1" applyFill="1" applyAlignment="1">
      <alignment horizontal="center" wrapText="1"/>
    </xf>
    <xf numFmtId="10" fontId="4" fillId="4" borderId="5" xfId="1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16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center"/>
    </dxf>
    <dxf>
      <alignment horizontal="center"/>
    </dxf>
    <dxf>
      <numFmt numFmtId="165" formatCode="&quot;₹&quot;\ #,##0"/>
      <alignment horizontal="center"/>
    </dxf>
    <dxf>
      <numFmt numFmtId="165" formatCode="&quot;₹&quot;\ #,##0"/>
      <alignment horizontal="center" vertical="center"/>
    </dxf>
    <dxf>
      <numFmt numFmtId="1" formatCode="0"/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Profit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Pivot_Tables!$B$4:$B$8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Pivot_Tables!$C$4:$C$8</c:f>
              <c:numCache>
                <c:formatCode>0</c:formatCode>
                <c:ptCount val="4"/>
                <c:pt idx="0">
                  <c:v>900</c:v>
                </c:pt>
                <c:pt idx="1">
                  <c:v>800</c:v>
                </c:pt>
                <c:pt idx="2">
                  <c:v>920</c:v>
                </c:pt>
                <c:pt idx="3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3-4AFE-B890-85C3D8BEF0F5}"/>
            </c:ext>
          </c:extLst>
        </c:ser>
        <c:ser>
          <c:idx val="1"/>
          <c:order val="1"/>
          <c:tx>
            <c:strRef>
              <c:f>Pivot_Tables!$D$3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Pivot_Tables!$B$4:$B$8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Pivot_Tables!$D$4:$D$8</c:f>
              <c:numCache>
                <c:formatCode>"₹"\ #,##0</c:formatCode>
                <c:ptCount val="4"/>
                <c:pt idx="0">
                  <c:v>500</c:v>
                </c:pt>
                <c:pt idx="1">
                  <c:v>440</c:v>
                </c:pt>
                <c:pt idx="2">
                  <c:v>480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3-4AFE-B890-85C3D8BEF0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917072"/>
        <c:axId val="267058992"/>
      </c:barChart>
      <c:catAx>
        <c:axId val="79691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58992"/>
        <c:crosses val="autoZero"/>
        <c:auto val="1"/>
        <c:lblAlgn val="ctr"/>
        <c:lblOffset val="100"/>
        <c:noMultiLvlLbl val="0"/>
      </c:catAx>
      <c:valAx>
        <c:axId val="2670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1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749b20-1c7e-4a9d-a506-931a9f77f5c0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Pivot_Tables!$C$13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C1-4A23-A621-DA3AC05E2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C1-4A23-A621-DA3AC05E2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Pivot_Tables!$B$14:$B$16</c:f>
              <c:strCache>
                <c:ptCount val="2"/>
                <c:pt idx="0">
                  <c:v>Region 1</c:v>
                </c:pt>
                <c:pt idx="1">
                  <c:v>Region 2</c:v>
                </c:pt>
              </c:strCache>
            </c:strRef>
          </c:cat>
          <c:val>
            <c:numRef>
              <c:f>Pivot_Tables!$C$14:$C$16</c:f>
              <c:numCache>
                <c:formatCode>0</c:formatCode>
                <c:ptCount val="2"/>
                <c:pt idx="0">
                  <c:v>1880</c:v>
                </c:pt>
                <c:pt idx="1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1-4A23-A621-DA3AC05E23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b3358-6f4e-4275-8127-687a81046249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Pivot_Tables!$C$21:$C$24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Pivot_Tables!$D$21:$D$24</c:f>
              <c:numCache>
                <c:formatCode>"₹"\ #,##0</c:formatCode>
                <c:ptCount val="3"/>
                <c:pt idx="0">
                  <c:v>1000</c:v>
                </c:pt>
                <c:pt idx="1">
                  <c:v>520</c:v>
                </c:pt>
                <c:pt idx="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9-4320-9085-A8E63E7876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8527184"/>
        <c:axId val="665725360"/>
      </c:barChart>
      <c:catAx>
        <c:axId val="87852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25360"/>
        <c:crosses val="autoZero"/>
        <c:auto val="1"/>
        <c:lblAlgn val="ctr"/>
        <c:lblOffset val="100"/>
        <c:noMultiLvlLbl val="0"/>
      </c:catAx>
      <c:valAx>
        <c:axId val="6657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c6f484-363b-41d1-ab20-1c6005ccc926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Expences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Pivot_Tables!$H$9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Pivot_Tables!$G$10:$G$14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Pivot_Tables!$H$10:$H$14</c:f>
              <c:numCache>
                <c:formatCode>"₹"\ #,##0</c:formatCode>
                <c:ptCount val="4"/>
                <c:pt idx="0">
                  <c:v>400</c:v>
                </c:pt>
                <c:pt idx="1">
                  <c:v>360</c:v>
                </c:pt>
                <c:pt idx="2">
                  <c:v>440</c:v>
                </c:pt>
                <c:pt idx="3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3-4705-9F73-B3088385F4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24834863"/>
        <c:axId val="267060912"/>
      </c:lineChart>
      <c:catAx>
        <c:axId val="9248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60912"/>
        <c:crosses val="autoZero"/>
        <c:auto val="1"/>
        <c:lblAlgn val="ctr"/>
        <c:lblOffset val="100"/>
        <c:noMultiLvlLbl val="0"/>
      </c:catAx>
      <c:valAx>
        <c:axId val="26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c74a84-3785-467c-9ce9-3d37fc54dbcc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)project4.xlsx]Pivot_Tables!PivotTable6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Pivot_Tables!$G$3:$G$7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Pivot_Tables!$H$3:$H$7</c:f>
              <c:numCache>
                <c:formatCode>0</c:formatCode>
                <c:ptCount val="4"/>
                <c:pt idx="0">
                  <c:v>900</c:v>
                </c:pt>
                <c:pt idx="1">
                  <c:v>800</c:v>
                </c:pt>
                <c:pt idx="2">
                  <c:v>920</c:v>
                </c:pt>
                <c:pt idx="3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D-4E39-8D25-7DEBD6F5BC6E}"/>
            </c:ext>
          </c:extLst>
        </c:ser>
        <c:ser>
          <c:idx val="1"/>
          <c:order val="1"/>
          <c:tx>
            <c:strRef>
              <c:f>Pivot_Tables!$I$2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Pivot_Tables!$G$3:$G$7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Pivot_Tables!$I$3:$I$7</c:f>
              <c:numCache>
                <c:formatCode>"₹"\ #,##0</c:formatCode>
                <c:ptCount val="4"/>
                <c:pt idx="0">
                  <c:v>500</c:v>
                </c:pt>
                <c:pt idx="1">
                  <c:v>440</c:v>
                </c:pt>
                <c:pt idx="2">
                  <c:v>480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D-4E39-8D25-7DEBD6F5BC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4213712"/>
        <c:axId val="267057552"/>
      </c:barChart>
      <c:catAx>
        <c:axId val="7942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57552"/>
        <c:crosses val="autoZero"/>
        <c:auto val="1"/>
        <c:lblAlgn val="ctr"/>
        <c:lblOffset val="100"/>
        <c:noMultiLvlLbl val="0"/>
      </c:catAx>
      <c:valAx>
        <c:axId val="2670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1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1719e2-15c7-4f60-b190-f821801ee85e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aseline="0">
                <a:solidFill>
                  <a:schemeClr val="bg1"/>
                </a:solidFill>
              </a:rPr>
              <a:t>Sales vs Profit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Pivot_Tables!$C$3</c:f>
              <c:strCache>
                <c:ptCount val="1"/>
                <c:pt idx="0">
                  <c:v>Sum of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Pivot_Tables!$B$4:$B$8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Pivot_Tables!$C$4:$C$8</c:f>
              <c:numCache>
                <c:formatCode>0</c:formatCode>
                <c:ptCount val="4"/>
                <c:pt idx="0">
                  <c:v>900</c:v>
                </c:pt>
                <c:pt idx="1">
                  <c:v>800</c:v>
                </c:pt>
                <c:pt idx="2">
                  <c:v>920</c:v>
                </c:pt>
                <c:pt idx="3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5-4A9A-A730-962A4765CC3A}"/>
            </c:ext>
          </c:extLst>
        </c:ser>
        <c:ser>
          <c:idx val="1"/>
          <c:order val="1"/>
          <c:tx>
            <c:strRef>
              <c:f>Pivot_Tables!$D$3</c:f>
              <c:strCache>
                <c:ptCount val="1"/>
                <c:pt idx="0">
                  <c:v>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Pivot_Tables!$B$4:$B$8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Pivot_Tables!$D$4:$D$8</c:f>
              <c:numCache>
                <c:formatCode>"₹"\ #,##0</c:formatCode>
                <c:ptCount val="4"/>
                <c:pt idx="0">
                  <c:v>500</c:v>
                </c:pt>
                <c:pt idx="1">
                  <c:v>440</c:v>
                </c:pt>
                <c:pt idx="2">
                  <c:v>480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5-4A9A-A730-962A4765CC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96917072"/>
        <c:axId val="267058992"/>
      </c:barChart>
      <c:catAx>
        <c:axId val="796917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58992"/>
        <c:crosses val="autoZero"/>
        <c:auto val="1"/>
        <c:lblAlgn val="ctr"/>
        <c:lblOffset val="100"/>
        <c:noMultiLvlLbl val="0"/>
      </c:catAx>
      <c:valAx>
        <c:axId val="267058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1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9e816e-ec4a-4c42-9887-0f4197f89c6c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6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aseline="0">
                <a:solidFill>
                  <a:schemeClr val="bg1"/>
                </a:solidFill>
              </a:rPr>
              <a:t> 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6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Pivot_Tables!$C$13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01E-43B2-8D81-F62D5107E45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01E-43B2-8D81-F62D5107E4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Pivot_Tables!$B$14:$B$16</c:f>
              <c:strCache>
                <c:ptCount val="2"/>
                <c:pt idx="0">
                  <c:v>Region 1</c:v>
                </c:pt>
                <c:pt idx="1">
                  <c:v>Region 2</c:v>
                </c:pt>
              </c:strCache>
            </c:strRef>
          </c:cat>
          <c:val>
            <c:numRef>
              <c:f>Pivot_Tables!$C$14:$C$16</c:f>
              <c:numCache>
                <c:formatCode>0</c:formatCode>
                <c:ptCount val="2"/>
                <c:pt idx="0">
                  <c:v>1880</c:v>
                </c:pt>
                <c:pt idx="1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1E-43B2-8D81-F62D5107E4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0769898253520933"/>
          <c:y val="0.15559071545839009"/>
          <c:w val="0.18459011439964598"/>
          <c:h val="0.48233680334879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504010-67de-49fa-b13e-119763d40c52}"/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3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aseline="0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Pivot_Tables!$D$20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Pivot_Tables!$C$21:$C$24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Pivot_Tables!$D$21:$D$24</c:f>
              <c:numCache>
                <c:formatCode>"₹"\ #,##0</c:formatCode>
                <c:ptCount val="3"/>
                <c:pt idx="0">
                  <c:v>1000</c:v>
                </c:pt>
                <c:pt idx="1">
                  <c:v>520</c:v>
                </c:pt>
                <c:pt idx="2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0-42F7-B83B-1AA532E8A8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78527184"/>
        <c:axId val="665725360"/>
      </c:barChart>
      <c:catAx>
        <c:axId val="87852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25360"/>
        <c:crosses val="autoZero"/>
        <c:auto val="1"/>
        <c:lblAlgn val="ctr"/>
        <c:lblOffset val="100"/>
        <c:noMultiLvlLbl val="0"/>
      </c:catAx>
      <c:valAx>
        <c:axId val="6657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038950-01a7-4068-9e29-57692c4e256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300"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Expences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Pivot_Tables!$H$9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Pivot_Tables!$G$10:$G$14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Pivot_Tables!$H$10:$H$14</c:f>
              <c:numCache>
                <c:formatCode>"₹"\ #,##0</c:formatCode>
                <c:ptCount val="4"/>
                <c:pt idx="0">
                  <c:v>400</c:v>
                </c:pt>
                <c:pt idx="1">
                  <c:v>360</c:v>
                </c:pt>
                <c:pt idx="2">
                  <c:v>440</c:v>
                </c:pt>
                <c:pt idx="3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A-458B-80BE-52DF74A49E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4834863"/>
        <c:axId val="267060912"/>
      </c:lineChart>
      <c:catAx>
        <c:axId val="9248348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60912"/>
        <c:crosses val="autoZero"/>
        <c:auto val="1"/>
        <c:lblAlgn val="ctr"/>
        <c:lblOffset val="100"/>
        <c:noMultiLvlLbl val="0"/>
      </c:catAx>
      <c:valAx>
        <c:axId val="267060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fd86ae-e218-4b76-9574-fae6af8dc518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3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[excel_(sales analysis )project4.xlsx]Pivot_Tables!PivotTable6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6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Quarter wise sum of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6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Pivot_Tables!$H$2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Pivot_Tables!$G$3:$G$7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Pivot_Tables!$H$3:$H$7</c:f>
              <c:numCache>
                <c:formatCode>0</c:formatCode>
                <c:ptCount val="4"/>
                <c:pt idx="0">
                  <c:v>900</c:v>
                </c:pt>
                <c:pt idx="1">
                  <c:v>800</c:v>
                </c:pt>
                <c:pt idx="2">
                  <c:v>920</c:v>
                </c:pt>
                <c:pt idx="3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C-436A-A9B5-C5A91A53F323}"/>
            </c:ext>
          </c:extLst>
        </c:ser>
        <c:ser>
          <c:idx val="1"/>
          <c:order val="1"/>
          <c:tx>
            <c:strRef>
              <c:f>Pivot_Tables!$I$2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Pivot_Tables!$G$3:$G$7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Pivot_Tables!$I$3:$I$7</c:f>
              <c:numCache>
                <c:formatCode>"₹"\ #,##0</c:formatCode>
                <c:ptCount val="4"/>
                <c:pt idx="0">
                  <c:v>500</c:v>
                </c:pt>
                <c:pt idx="1">
                  <c:v>440</c:v>
                </c:pt>
                <c:pt idx="2">
                  <c:v>480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C-436A-A9B5-C5A91A53F3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94213712"/>
        <c:axId val="267057552"/>
      </c:barChart>
      <c:catAx>
        <c:axId val="7942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57552"/>
        <c:crosses val="autoZero"/>
        <c:auto val="1"/>
        <c:lblAlgn val="ctr"/>
        <c:lblOffset val="100"/>
        <c:noMultiLvlLbl val="0"/>
      </c:catAx>
      <c:valAx>
        <c:axId val="2670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1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ac86fb-a8b9-4ca8-a45a-0ff7d08b5f5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300"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18142</xdr:colOff>
      <xdr:row>0</xdr:row>
      <xdr:rowOff>0</xdr:rowOff>
    </xdr:from>
    <xdr:to>
      <xdr:col>7</xdr:col>
      <xdr:colOff>353785</xdr:colOff>
      <xdr:row>15</xdr:row>
      <xdr:rowOff>108858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662214</xdr:colOff>
      <xdr:row>0</xdr:row>
      <xdr:rowOff>0</xdr:rowOff>
    </xdr:from>
    <xdr:to>
      <xdr:col>14</xdr:col>
      <xdr:colOff>616857</xdr:colOff>
      <xdr:row>15</xdr:row>
      <xdr:rowOff>72572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607786</xdr:colOff>
      <xdr:row>0</xdr:row>
      <xdr:rowOff>1</xdr:rowOff>
    </xdr:from>
    <xdr:to>
      <xdr:col>22</xdr:col>
      <xdr:colOff>417285</xdr:colOff>
      <xdr:row>15</xdr:row>
      <xdr:rowOff>54430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45358</xdr:rowOff>
    </xdr:from>
    <xdr:to>
      <xdr:col>9</xdr:col>
      <xdr:colOff>653143</xdr:colOff>
      <xdr:row>41</xdr:row>
      <xdr:rowOff>108856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526143</xdr:colOff>
      <xdr:row>17</xdr:row>
      <xdr:rowOff>54428</xdr:rowOff>
    </xdr:from>
    <xdr:to>
      <xdr:col>22</xdr:col>
      <xdr:colOff>417285</xdr:colOff>
      <xdr:row>39</xdr:row>
      <xdr:rowOff>63499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292735</xdr:colOff>
      <xdr:row>28</xdr:row>
      <xdr:rowOff>154305</xdr:rowOff>
    </xdr:from>
    <xdr:to>
      <xdr:col>18</xdr:col>
      <xdr:colOff>542290</xdr:colOff>
      <xdr:row>72</xdr:row>
      <xdr:rowOff>43180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286385</xdr:colOff>
      <xdr:row>73</xdr:row>
      <xdr:rowOff>99060</xdr:rowOff>
    </xdr:from>
    <xdr:to>
      <xdr:col>8</xdr:col>
      <xdr:colOff>617220</xdr:colOff>
      <xdr:row>102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250190</xdr:colOff>
      <xdr:row>73</xdr:row>
      <xdr:rowOff>97155</xdr:rowOff>
    </xdr:from>
    <xdr:to>
      <xdr:col>18</xdr:col>
      <xdr:colOff>545465</xdr:colOff>
      <xdr:row>102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232410</xdr:colOff>
      <xdr:row>103</xdr:row>
      <xdr:rowOff>72390</xdr:rowOff>
    </xdr:from>
    <xdr:to>
      <xdr:col>18</xdr:col>
      <xdr:colOff>587375</xdr:colOff>
      <xdr:row>141</xdr:row>
      <xdr:rowOff>86360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230505</xdr:colOff>
      <xdr:row>143</xdr:row>
      <xdr:rowOff>22225</xdr:rowOff>
    </xdr:from>
    <xdr:to>
      <xdr:col>18</xdr:col>
      <xdr:colOff>601345</xdr:colOff>
      <xdr:row>184</xdr:row>
      <xdr:rowOff>64770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16</xdr:row>
      <xdr:rowOff>0</xdr:rowOff>
    </xdr:from>
    <xdr:to>
      <xdr:col>11</xdr:col>
      <xdr:colOff>1149246</xdr:colOff>
      <xdr:row>23</xdr:row>
      <xdr:rowOff>118241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Quarter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9480" y="3339465"/>
              <a:ext cx="3884295" cy="133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veta Sood" refreshedDate="46211.6646555556" createdVersion="8" refreshedVersion="8" minRefreshableVersion="3" recordCount="16" xr:uid="{00000000-000A-0000-FFFF-FFFF00000000}">
  <cacheSource type="worksheet">
    <worksheetSource name="sales_tbl"/>
  </cacheSource>
  <cacheFields count="6">
    <cacheField name="Product" numFmtId="0">
      <sharedItems count="3">
        <s v="Product A"/>
        <s v="Product B"/>
        <s v="Product C"/>
      </sharedItems>
    </cacheField>
    <cacheField name="Sales" numFmtId="1">
      <sharedItems containsSemiMixedTypes="0" containsNonDate="0" containsString="0" containsNumber="1" containsInteger="1" minValue="100" maxValue="420"/>
    </cacheField>
    <cacheField name="Expenses" numFmtId="165">
      <sharedItems containsSemiMixedTypes="0" containsNonDate="0" containsString="0" containsNumber="1" containsInteger="1" minValue="50" maxValue="200"/>
    </cacheField>
    <cacheField name="Profit" numFmtId="165">
      <sharedItems containsSemiMixedTypes="0" containsNonDate="0" containsString="0" containsNumber="1" containsInteger="1" minValue="50" maxValue="220"/>
    </cacheField>
    <cacheField name="Region" numFmtId="0">
      <sharedItems count="2">
        <s v="Region 1"/>
        <s v="Region 2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00"/>
    <n v="50"/>
    <n v="50"/>
    <x v="0"/>
    <x v="0"/>
  </r>
  <r>
    <x v="1"/>
    <n v="200"/>
    <n v="80"/>
    <n v="120"/>
    <x v="1"/>
    <x v="0"/>
  </r>
  <r>
    <x v="2"/>
    <n v="150"/>
    <n v="70"/>
    <n v="80"/>
    <x v="0"/>
    <x v="1"/>
  </r>
  <r>
    <x v="0"/>
    <n v="250"/>
    <n v="100"/>
    <n v="150"/>
    <x v="1"/>
    <x v="1"/>
  </r>
  <r>
    <x v="1"/>
    <n v="180"/>
    <n v="90"/>
    <n v="90"/>
    <x v="0"/>
    <x v="2"/>
  </r>
  <r>
    <x v="2"/>
    <n v="120"/>
    <n v="60"/>
    <n v="60"/>
    <x v="1"/>
    <x v="2"/>
  </r>
  <r>
    <x v="0"/>
    <n v="300"/>
    <n v="120"/>
    <n v="180"/>
    <x v="0"/>
    <x v="3"/>
  </r>
  <r>
    <x v="1"/>
    <n v="220"/>
    <n v="110"/>
    <n v="110"/>
    <x v="1"/>
    <x v="3"/>
  </r>
  <r>
    <x v="2"/>
    <n v="280"/>
    <n v="130"/>
    <n v="150"/>
    <x v="0"/>
    <x v="0"/>
  </r>
  <r>
    <x v="0"/>
    <n v="320"/>
    <n v="140"/>
    <n v="180"/>
    <x v="1"/>
    <x v="0"/>
  </r>
  <r>
    <x v="1"/>
    <n v="190"/>
    <n v="100"/>
    <n v="90"/>
    <x v="0"/>
    <x v="1"/>
  </r>
  <r>
    <x v="2"/>
    <n v="210"/>
    <n v="90"/>
    <n v="120"/>
    <x v="1"/>
    <x v="1"/>
  </r>
  <r>
    <x v="0"/>
    <n v="380"/>
    <n v="160"/>
    <n v="220"/>
    <x v="0"/>
    <x v="2"/>
  </r>
  <r>
    <x v="1"/>
    <n v="240"/>
    <n v="130"/>
    <n v="110"/>
    <x v="1"/>
    <x v="2"/>
  </r>
  <r>
    <x v="2"/>
    <n v="300"/>
    <n v="150"/>
    <n v="150"/>
    <x v="0"/>
    <x v="3"/>
  </r>
  <r>
    <x v="0"/>
    <n v="420"/>
    <n v="200"/>
    <n v="22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8:D19" firstHeaderRow="0" firstDataRow="1" firstDataCol="1"/>
  <pivotFields count="6">
    <pivotField axis="axisRow" subtotalTop="0" showAll="0">
      <items count="4">
        <item x="0"/>
        <item x="1"/>
        <item x="2"/>
        <item t="default"/>
      </items>
    </pivotField>
    <pivotField dataField="1" numFmtId="1" subtotalTop="0" showAll="0"/>
    <pivotField dataField="1" numFmtId="165" subtotalTop="0" showAll="0"/>
    <pivotField dataField="1" numFmtId="165" subtotalTop="0" showAll="0"/>
    <pivotField axis="axisRow" subtotalTop="0" showAll="0">
      <items count="3">
        <item x="0"/>
        <item x="1"/>
        <item t="default"/>
      </items>
    </pivotField>
    <pivotField subtotalTop="0" showAll="0">
      <items count="5">
        <item x="0"/>
        <item x="1"/>
        <item x="2"/>
        <item x="3"/>
        <item t="default"/>
      </items>
    </pivotField>
  </pivotFields>
  <rowFields count="2">
    <field x="4"/>
    <field x="0"/>
  </rowFields>
  <rowItems count="11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 numFmtId="1"/>
    <dataField name="Sum of Expenses" fld="2" baseField="0" baseItem="0" numFmtId="165"/>
    <dataField name="Sum of Profit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16" cacheId="0" applyNumberFormats="0" applyBorderFormats="0" applyFontFormats="0" applyPatternFormats="0" applyAlignmentFormats="0" applyWidthHeightFormats="1" dataCaption="Values" updatedVersion="8" minRefreshableVersion="3" createdVersion="8" indent="0" outline="1" outlineData="1" multipleFieldFilters="0">
  <location ref="K2:L5" firstHeaderRow="1" firstDataRow="1" firstDataCol="1"/>
  <pivotFields count="6">
    <pivotField showAll="0">
      <items count="4">
        <item x="0"/>
        <item x="1"/>
        <item x="2"/>
        <item t="default"/>
      </items>
    </pivotField>
    <pivotField dataField="1" numFmtId="1" showAll="0"/>
    <pivotField numFmtId="165" showAll="0"/>
    <pivotField numFmtId="165"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Sum of Sales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Table1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N2:O6" firstHeaderRow="1" firstDataRow="1" firstDataCol="1"/>
  <pivotFields count="6"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dataField="1" numFmtId="165" showAll="0"/>
    <pivotField showAll="0"/>
    <pivotField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4">
  <location ref="C20:D24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numFmtId="1" showAll="0"/>
    <pivotField numFmtId="165" showAll="0"/>
    <pivotField dataField="1" numFmtId="165"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3" baseField="0" baseItem="0" numFmtId="165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9">
  <location ref="G9:H14" firstHeaderRow="1" firstDataRow="1" firstDataCol="1"/>
  <pivotFields count="6">
    <pivotField showAll="0">
      <items count="4">
        <item x="0"/>
        <item x="1"/>
        <item x="2"/>
        <item t="default"/>
      </items>
    </pivotField>
    <pivotField numFmtId="1" showAll="0"/>
    <pivotField dataField="1" numFmtId="165" showAll="0"/>
    <pivotField numFmtId="165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2" baseField="0" baseItem="0" numFmtId="165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2">
  <location ref="B13:C16" firstHeaderRow="1" firstDataRow="1" firstDataCol="1"/>
  <pivotFields count="6">
    <pivotField showAll="0">
      <items count="4">
        <item x="0"/>
        <item x="1"/>
        <item x="2"/>
        <item t="default"/>
      </items>
    </pivotField>
    <pivotField dataField="1" numFmtId="1" showAll="0"/>
    <pivotField numFmtId="165" showAll="0"/>
    <pivotField numFmtId="165" showAll="0"/>
    <pivotField axis="axisRow"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 numFmtId="1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K10:N11" firstHeaderRow="0" firstDataRow="1" firstDataCol="0" rowPageCount="2" colPageCount="1"/>
  <pivotFields count="6">
    <pivotField showAll="0">
      <items count="4">
        <item x="0"/>
        <item x="1"/>
        <item x="2"/>
        <item t="default"/>
      </items>
    </pivotField>
    <pivotField dataField="1" numFmtId="1" showAll="0"/>
    <pivotField dataField="1" numFmtId="165" showAll="0"/>
    <pivotField dataField="1" numFmtId="165" showAll="0"/>
    <pivotField axis="axisPage" showAll="0">
      <items count="3"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0"/>
    <pageField fld="4" hier="0"/>
  </pageFields>
  <dataFields count="4">
    <dataField name="Sum of Sales" fld="1" baseField="0" baseItem="0" numFmtId="1"/>
    <dataField name="Sum of Expenses" fld="2" baseField="0" baseItem="0" numFmtId="165"/>
    <dataField name="Sum of Profit" fld="3" baseField="0" baseItem="0" numFmtId="165"/>
    <dataField name="Average of Sales" fld="1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2">
  <location ref="B3:D8" firstHeaderRow="0" firstDataRow="1" firstDataCol="1"/>
  <pivotFields count="6">
    <pivotField showAll="0">
      <items count="4">
        <item x="0"/>
        <item x="1"/>
        <item x="2"/>
        <item t="default"/>
      </items>
    </pivotField>
    <pivotField dataField="1" numFmtId="1" showAll="0"/>
    <pivotField numFmtId="165" showAll="0"/>
    <pivotField dataField="1" numFmtId="165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1"/>
    <dataField name="Sum of Profit" fld="3" baseField="0" baseItem="0" numFmtId="165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1">
  <location ref="G2:I7" firstHeaderRow="0" firstDataRow="1" firstDataCol="1"/>
  <pivotFields count="6">
    <pivotField showAll="0">
      <items count="4">
        <item x="0"/>
        <item x="1"/>
        <item x="2"/>
        <item t="default"/>
      </items>
    </pivotField>
    <pivotField dataField="1" numFmtId="1" showAll="0"/>
    <pivotField numFmtId="165" showAll="0"/>
    <pivotField dataField="1" numFmtId="165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1"/>
    <dataField name="Sum of Profit" fld="3" baseField="0" baseItem="0" numFmtId="165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O19:R20" firstHeaderRow="0" firstDataRow="1" firstDataCol="0" rowPageCount="2" colPageCount="1"/>
  <pivotFields count="6">
    <pivotField showAll="0">
      <items count="4">
        <item x="0"/>
        <item x="1"/>
        <item x="2"/>
        <item t="default"/>
      </items>
    </pivotField>
    <pivotField dataField="1" numFmtId="1" showAll="0"/>
    <pivotField dataField="1" numFmtId="165" showAll="0"/>
    <pivotField dataField="1" numFmtId="165" showAll="0"/>
    <pivotField axis="axisPage" showAll="0">
      <items count="3"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0"/>
    <pageField fld="4" hier="0"/>
  </pageFields>
  <dataFields count="4">
    <dataField name="Sum of Sales" fld="1" baseField="0" baseItem="0" numFmtId="1"/>
    <dataField name="Sum of Expenses" fld="2" baseField="0" baseItem="0" numFmtId="165"/>
    <dataField name="Sum of Profit" fld="3" baseField="0" baseItem="0" numFmtId="165"/>
    <dataField name="Average of Sales" fld="1" subtotal="average" baseField="0" baseItem="0" numFmtId="1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Quarter" xr10:uid="{00000000-0013-0000-FFFF-FFFF01000000}" sourceName="Quarter">
  <pivotTables>
    <pivotTable tabId="5" name="PivotTable2"/>
    <pivotTable tabId="5" name="PivotTable3"/>
    <pivotTable tabId="5" name="PivotTable4"/>
    <pivotTable tabId="5" name="PivotTable5"/>
    <pivotTable tabId="5" name="PivotTable6"/>
    <pivotTable tabId="5" name="PivotTable12"/>
    <pivotTable tabId="4" name="PivotTable14"/>
    <pivotTable tabId="2" name="PivotTable1"/>
  </pivotTables>
  <data>
    <tabular pivotCacheId="1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uarter" xr10:uid="{00000000-0014-0000-FFFF-FFFF01000000}" cache="Slicer_Quarter" caption="Quarter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ales_tbl" displayName="sales_tbl" ref="A1:F17" totalsRowShown="0">
  <autoFilter ref="A1:F17" xr:uid="{00000000-0009-0000-0100-000002000000}"/>
  <tableColumns count="6">
    <tableColumn id="1" xr3:uid="{00000000-0010-0000-0000-000001000000}" name="Product" dataDxfId="9"/>
    <tableColumn id="2" xr3:uid="{00000000-0010-0000-0000-000002000000}" name="Sales" dataDxfId="8"/>
    <tableColumn id="3" xr3:uid="{00000000-0010-0000-0000-000003000000}" name="Expenses" dataDxfId="7"/>
    <tableColumn id="4" xr3:uid="{00000000-0010-0000-0000-000004000000}" name="Profit" dataDxfId="6"/>
    <tableColumn id="5" xr3:uid="{00000000-0010-0000-0000-000005000000}" name="Region" dataDxfId="5"/>
    <tableColumn id="6" xr3:uid="{00000000-0010-0000-0000-000006000000}" name="Quarter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H23" sqref="H23"/>
    </sheetView>
  </sheetViews>
  <sheetFormatPr defaultColWidth="9" defaultRowHeight="13.8"/>
  <cols>
    <col min="1" max="1" width="13.19921875" customWidth="1"/>
    <col min="2" max="2" width="13.3984375" customWidth="1"/>
    <col min="3" max="3" width="11.59765625" style="36" customWidth="1"/>
    <col min="4" max="4" width="12.5" customWidth="1"/>
    <col min="5" max="5" width="13.09765625" customWidth="1"/>
    <col min="6" max="6" width="11.5" customWidth="1"/>
  </cols>
  <sheetData>
    <row r="1" spans="1:6">
      <c r="A1" s="37" t="s">
        <v>0</v>
      </c>
      <c r="B1" s="37" t="s">
        <v>1</v>
      </c>
      <c r="C1" s="38" t="s">
        <v>2</v>
      </c>
      <c r="D1" s="37" t="s">
        <v>3</v>
      </c>
      <c r="E1" s="37" t="s">
        <v>4</v>
      </c>
      <c r="F1" s="37" t="s">
        <v>5</v>
      </c>
    </row>
    <row r="2" spans="1:6">
      <c r="A2" s="37" t="s">
        <v>6</v>
      </c>
      <c r="B2" s="39">
        <v>100</v>
      </c>
      <c r="C2" s="40">
        <v>50</v>
      </c>
      <c r="D2" s="41">
        <v>50</v>
      </c>
      <c r="E2" s="37" t="s">
        <v>7</v>
      </c>
      <c r="F2" s="37" t="s">
        <v>8</v>
      </c>
    </row>
    <row r="3" spans="1:6">
      <c r="A3" s="37" t="s">
        <v>9</v>
      </c>
      <c r="B3" s="39">
        <v>200</v>
      </c>
      <c r="C3" s="40">
        <v>80</v>
      </c>
      <c r="D3" s="41">
        <v>120</v>
      </c>
      <c r="E3" s="37" t="s">
        <v>10</v>
      </c>
      <c r="F3" s="37" t="s">
        <v>8</v>
      </c>
    </row>
    <row r="4" spans="1:6">
      <c r="A4" s="37" t="s">
        <v>11</v>
      </c>
      <c r="B4" s="39">
        <v>150</v>
      </c>
      <c r="C4" s="40">
        <v>70</v>
      </c>
      <c r="D4" s="41">
        <v>80</v>
      </c>
      <c r="E4" s="37" t="s">
        <v>7</v>
      </c>
      <c r="F4" s="37" t="s">
        <v>12</v>
      </c>
    </row>
    <row r="5" spans="1:6">
      <c r="A5" s="37" t="s">
        <v>6</v>
      </c>
      <c r="B5" s="39">
        <v>250</v>
      </c>
      <c r="C5" s="40">
        <v>100</v>
      </c>
      <c r="D5" s="41">
        <v>150</v>
      </c>
      <c r="E5" s="37" t="s">
        <v>10</v>
      </c>
      <c r="F5" s="37" t="s">
        <v>12</v>
      </c>
    </row>
    <row r="6" spans="1:6">
      <c r="A6" s="37" t="s">
        <v>9</v>
      </c>
      <c r="B6" s="39">
        <v>180</v>
      </c>
      <c r="C6" s="40">
        <v>90</v>
      </c>
      <c r="D6" s="41">
        <v>90</v>
      </c>
      <c r="E6" s="37" t="s">
        <v>7</v>
      </c>
      <c r="F6" s="37" t="s">
        <v>13</v>
      </c>
    </row>
    <row r="7" spans="1:6">
      <c r="A7" s="37" t="s">
        <v>11</v>
      </c>
      <c r="B7" s="39">
        <v>120</v>
      </c>
      <c r="C7" s="40">
        <v>60</v>
      </c>
      <c r="D7" s="41">
        <v>60</v>
      </c>
      <c r="E7" s="37" t="s">
        <v>10</v>
      </c>
      <c r="F7" s="37" t="s">
        <v>13</v>
      </c>
    </row>
    <row r="8" spans="1:6">
      <c r="A8" s="37" t="s">
        <v>6</v>
      </c>
      <c r="B8" s="39">
        <v>300</v>
      </c>
      <c r="C8" s="40">
        <v>120</v>
      </c>
      <c r="D8" s="41">
        <v>180</v>
      </c>
      <c r="E8" s="37" t="s">
        <v>7</v>
      </c>
      <c r="F8" s="37" t="s">
        <v>14</v>
      </c>
    </row>
    <row r="9" spans="1:6">
      <c r="A9" s="37" t="s">
        <v>9</v>
      </c>
      <c r="B9" s="39">
        <v>220</v>
      </c>
      <c r="C9" s="40">
        <v>110</v>
      </c>
      <c r="D9" s="41">
        <v>110</v>
      </c>
      <c r="E9" s="37" t="s">
        <v>10</v>
      </c>
      <c r="F9" s="37" t="s">
        <v>14</v>
      </c>
    </row>
    <row r="10" spans="1:6">
      <c r="A10" s="37" t="s">
        <v>11</v>
      </c>
      <c r="B10" s="39">
        <v>280</v>
      </c>
      <c r="C10" s="40">
        <v>130</v>
      </c>
      <c r="D10" s="41">
        <v>150</v>
      </c>
      <c r="E10" s="37" t="s">
        <v>7</v>
      </c>
      <c r="F10" s="37" t="s">
        <v>8</v>
      </c>
    </row>
    <row r="11" spans="1:6">
      <c r="A11" s="37" t="s">
        <v>6</v>
      </c>
      <c r="B11" s="39">
        <v>320</v>
      </c>
      <c r="C11" s="40">
        <v>140</v>
      </c>
      <c r="D11" s="41">
        <v>180</v>
      </c>
      <c r="E11" s="37" t="s">
        <v>10</v>
      </c>
      <c r="F11" s="37" t="s">
        <v>8</v>
      </c>
    </row>
    <row r="12" spans="1:6">
      <c r="A12" s="37" t="s">
        <v>9</v>
      </c>
      <c r="B12" s="39">
        <v>190</v>
      </c>
      <c r="C12" s="40">
        <v>100</v>
      </c>
      <c r="D12" s="41">
        <v>90</v>
      </c>
      <c r="E12" s="37" t="s">
        <v>7</v>
      </c>
      <c r="F12" s="37" t="s">
        <v>12</v>
      </c>
    </row>
    <row r="13" spans="1:6">
      <c r="A13" s="37" t="s">
        <v>11</v>
      </c>
      <c r="B13" s="39">
        <v>210</v>
      </c>
      <c r="C13" s="40">
        <v>90</v>
      </c>
      <c r="D13" s="41">
        <v>120</v>
      </c>
      <c r="E13" s="37" t="s">
        <v>10</v>
      </c>
      <c r="F13" s="37" t="s">
        <v>12</v>
      </c>
    </row>
    <row r="14" spans="1:6">
      <c r="A14" s="37" t="s">
        <v>6</v>
      </c>
      <c r="B14" s="39">
        <v>380</v>
      </c>
      <c r="C14" s="40">
        <v>160</v>
      </c>
      <c r="D14" s="41">
        <v>220</v>
      </c>
      <c r="E14" s="37" t="s">
        <v>7</v>
      </c>
      <c r="F14" s="37" t="s">
        <v>13</v>
      </c>
    </row>
    <row r="15" spans="1:6">
      <c r="A15" s="37" t="s">
        <v>9</v>
      </c>
      <c r="B15" s="39">
        <v>240</v>
      </c>
      <c r="C15" s="40">
        <v>130</v>
      </c>
      <c r="D15" s="41">
        <v>110</v>
      </c>
      <c r="E15" s="37" t="s">
        <v>10</v>
      </c>
      <c r="F15" s="37" t="s">
        <v>13</v>
      </c>
    </row>
    <row r="16" spans="1:6">
      <c r="A16" s="37" t="s">
        <v>11</v>
      </c>
      <c r="B16" s="39">
        <v>300</v>
      </c>
      <c r="C16" s="40">
        <v>150</v>
      </c>
      <c r="D16" s="41">
        <v>150</v>
      </c>
      <c r="E16" s="37" t="s">
        <v>7</v>
      </c>
      <c r="F16" s="37" t="s">
        <v>14</v>
      </c>
    </row>
    <row r="17" spans="1:6">
      <c r="A17" s="37" t="s">
        <v>6</v>
      </c>
      <c r="B17" s="39">
        <v>420</v>
      </c>
      <c r="C17" s="40">
        <v>200</v>
      </c>
      <c r="D17" s="41">
        <v>220</v>
      </c>
      <c r="E17" s="37" t="s">
        <v>10</v>
      </c>
      <c r="F17" s="37" t="s">
        <v>14</v>
      </c>
    </row>
  </sheetData>
  <conditionalFormatting sqref="B1:B17">
    <cfRule type="top10" dxfId="3" priority="2" percent="1" rank="10"/>
  </conditionalFormatting>
  <conditionalFormatting sqref="D1:D17">
    <cfRule type="cellIs" dxfId="2" priority="1" operator="lessThan">
      <formula>100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28" sqref="C28"/>
    </sheetView>
  </sheetViews>
  <sheetFormatPr defaultColWidth="9" defaultRowHeight="13.8"/>
  <cols>
    <col min="2" max="2" width="11.796875" customWidth="1"/>
    <col min="3" max="3" width="13.59765625" customWidth="1"/>
    <col min="4" max="4" width="12.8984375" customWidth="1"/>
  </cols>
  <sheetData>
    <row r="1" spans="1:4">
      <c r="A1" t="s">
        <v>5</v>
      </c>
      <c r="B1" t="s">
        <v>15</v>
      </c>
      <c r="C1" t="s">
        <v>16</v>
      </c>
      <c r="D1" t="s">
        <v>17</v>
      </c>
    </row>
    <row r="2" spans="1:4">
      <c r="A2" t="s">
        <v>8</v>
      </c>
      <c r="B2">
        <f>AVERAGEIF(sales_tbl[Quarter],A2,sales_tbl[Sales])</f>
        <v>225</v>
      </c>
      <c r="C2">
        <f>SUMIF(sales_tbl[Quarter],A2,sales_tbl[Expenses])</f>
        <v>400</v>
      </c>
      <c r="D2">
        <f>_xlfn.MAXIFS(sales_tbl[Profit],sales_tbl[Quarter],A2)</f>
        <v>180</v>
      </c>
    </row>
    <row r="3" spans="1:4">
      <c r="A3" t="s">
        <v>12</v>
      </c>
      <c r="B3">
        <f>AVERAGEIF(sales_tbl[Quarter],A3,sales_tbl[Sales])</f>
        <v>200</v>
      </c>
      <c r="C3">
        <f>SUMIF(sales_tbl[Quarter],A3,sales_tbl[Expenses])</f>
        <v>360</v>
      </c>
      <c r="D3">
        <f>_xlfn.MAXIFS(sales_tbl[Profit],sales_tbl[Quarter],A3)</f>
        <v>150</v>
      </c>
    </row>
    <row r="4" spans="1:4">
      <c r="A4" t="s">
        <v>13</v>
      </c>
      <c r="B4">
        <f>AVERAGEIF(sales_tbl[Quarter],A4,sales_tbl[Sales])</f>
        <v>230</v>
      </c>
      <c r="C4">
        <f>SUMIF(sales_tbl[Quarter],A4,sales_tbl[Expenses])</f>
        <v>440</v>
      </c>
      <c r="D4">
        <f>_xlfn.MAXIFS(sales_tbl[Profit],sales_tbl[Quarter],A4)</f>
        <v>220</v>
      </c>
    </row>
    <row r="5" spans="1:4">
      <c r="A5" t="s">
        <v>14</v>
      </c>
      <c r="B5">
        <f>AVERAGEIF(sales_tbl[Quarter],A5,sales_tbl[Sales])</f>
        <v>310</v>
      </c>
      <c r="C5">
        <f>SUMIF(sales_tbl[Quarter],A5,sales_tbl[Expenses])</f>
        <v>580</v>
      </c>
      <c r="D5">
        <f>_xlfn.MAXIFS(sales_tbl[Profit],sales_tbl[Quarter],A5)</f>
        <v>220</v>
      </c>
    </row>
    <row r="8" spans="1:4">
      <c r="A8" t="s">
        <v>18</v>
      </c>
      <c r="B8" t="s">
        <v>19</v>
      </c>
      <c r="C8" t="s">
        <v>20</v>
      </c>
      <c r="D8" t="s">
        <v>21</v>
      </c>
    </row>
    <row r="9" spans="1:4">
      <c r="A9" s="32" t="s">
        <v>7</v>
      </c>
      <c r="B9" s="33"/>
      <c r="C9" s="34"/>
      <c r="D9" s="34"/>
    </row>
    <row r="10" spans="1:4">
      <c r="A10" s="35" t="s">
        <v>6</v>
      </c>
      <c r="B10" s="33">
        <v>780</v>
      </c>
      <c r="C10" s="34">
        <v>330</v>
      </c>
      <c r="D10" s="34">
        <v>450</v>
      </c>
    </row>
    <row r="11" spans="1:4">
      <c r="A11" s="35" t="s">
        <v>9</v>
      </c>
      <c r="B11" s="33">
        <v>370</v>
      </c>
      <c r="C11" s="34">
        <v>190</v>
      </c>
      <c r="D11" s="34">
        <v>180</v>
      </c>
    </row>
    <row r="12" spans="1:4">
      <c r="A12" s="35" t="s">
        <v>11</v>
      </c>
      <c r="B12" s="33">
        <v>730</v>
      </c>
      <c r="C12" s="34">
        <v>350</v>
      </c>
      <c r="D12" s="34">
        <v>380</v>
      </c>
    </row>
    <row r="13" spans="1:4">
      <c r="A13" s="32" t="s">
        <v>22</v>
      </c>
      <c r="B13" s="33">
        <v>1880</v>
      </c>
      <c r="C13" s="34">
        <v>870</v>
      </c>
      <c r="D13" s="34">
        <v>1010</v>
      </c>
    </row>
    <row r="14" spans="1:4">
      <c r="A14" s="32" t="s">
        <v>10</v>
      </c>
      <c r="B14" s="33"/>
      <c r="C14" s="34"/>
      <c r="D14" s="34"/>
    </row>
    <row r="15" spans="1:4">
      <c r="A15" s="35" t="s">
        <v>6</v>
      </c>
      <c r="B15" s="33">
        <v>990</v>
      </c>
      <c r="C15" s="34">
        <v>440</v>
      </c>
      <c r="D15" s="34">
        <v>550</v>
      </c>
    </row>
    <row r="16" spans="1:4">
      <c r="A16" s="35" t="s">
        <v>9</v>
      </c>
      <c r="B16" s="33">
        <v>660</v>
      </c>
      <c r="C16" s="34">
        <v>320</v>
      </c>
      <c r="D16" s="34">
        <v>340</v>
      </c>
    </row>
    <row r="17" spans="1:4">
      <c r="A17" s="35" t="s">
        <v>11</v>
      </c>
      <c r="B17" s="33">
        <v>330</v>
      </c>
      <c r="C17" s="34">
        <v>150</v>
      </c>
      <c r="D17" s="34">
        <v>180</v>
      </c>
    </row>
    <row r="18" spans="1:4">
      <c r="A18" s="32" t="s">
        <v>23</v>
      </c>
      <c r="B18" s="33">
        <v>1980</v>
      </c>
      <c r="C18" s="34">
        <v>910</v>
      </c>
      <c r="D18" s="34">
        <v>1070</v>
      </c>
    </row>
    <row r="19" spans="1:4">
      <c r="A19" s="32" t="s">
        <v>24</v>
      </c>
      <c r="B19" s="33">
        <v>3860</v>
      </c>
      <c r="C19" s="34">
        <v>1780</v>
      </c>
      <c r="D19" s="34">
        <v>2080</v>
      </c>
    </row>
  </sheetData>
  <conditionalFormatting sqref="D10:D12">
    <cfRule type="top10" dxfId="1" priority="2" rank="1"/>
  </conditionalFormatting>
  <conditionalFormatting sqref="D15:D17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24"/>
  <sheetViews>
    <sheetView topLeftCell="G1" workbookViewId="0">
      <selection activeCell="J22" sqref="J22"/>
    </sheetView>
  </sheetViews>
  <sheetFormatPr defaultColWidth="9" defaultRowHeight="13.8"/>
  <cols>
    <col min="2" max="2" width="13.09765625" customWidth="1"/>
    <col min="3" max="3" width="12.3984375" customWidth="1"/>
    <col min="4" max="4" width="12.296875" customWidth="1"/>
    <col min="7" max="7" width="13.09765625" customWidth="1"/>
    <col min="8" max="8" width="16.3984375" customWidth="1"/>
    <col min="9" max="9" width="13.09765625" customWidth="1"/>
    <col min="10" max="10" width="12.3984375" customWidth="1"/>
    <col min="11" max="11" width="16.3984375" customWidth="1"/>
    <col min="12" max="12" width="12.296875" customWidth="1"/>
    <col min="13" max="13" width="15.8984375" customWidth="1"/>
    <col min="15" max="15" width="13.09765625" customWidth="1"/>
    <col min="16" max="16" width="12.3984375" customWidth="1"/>
  </cols>
  <sheetData>
    <row r="2" spans="2:15">
      <c r="G2" t="s">
        <v>18</v>
      </c>
      <c r="H2" t="s">
        <v>19</v>
      </c>
      <c r="I2" t="s">
        <v>21</v>
      </c>
      <c r="K2" t="s">
        <v>18</v>
      </c>
      <c r="L2" t="s">
        <v>19</v>
      </c>
      <c r="N2" t="s">
        <v>18</v>
      </c>
      <c r="O2" t="s">
        <v>21</v>
      </c>
    </row>
    <row r="3" spans="2:15">
      <c r="B3" t="s">
        <v>18</v>
      </c>
      <c r="C3" t="s">
        <v>19</v>
      </c>
      <c r="D3" t="s">
        <v>21</v>
      </c>
      <c r="G3" s="32" t="s">
        <v>8</v>
      </c>
      <c r="H3" s="33">
        <v>900</v>
      </c>
      <c r="I3" s="34">
        <v>500</v>
      </c>
      <c r="K3" s="32" t="s">
        <v>10</v>
      </c>
      <c r="L3" s="33">
        <v>1980</v>
      </c>
      <c r="N3" s="32" t="s">
        <v>6</v>
      </c>
      <c r="O3" s="34">
        <v>1000</v>
      </c>
    </row>
    <row r="4" spans="2:15">
      <c r="B4" s="32" t="s">
        <v>8</v>
      </c>
      <c r="C4" s="33">
        <v>900</v>
      </c>
      <c r="D4" s="34">
        <v>500</v>
      </c>
      <c r="G4" s="32" t="s">
        <v>12</v>
      </c>
      <c r="H4" s="33">
        <v>800</v>
      </c>
      <c r="I4" s="34">
        <v>440</v>
      </c>
      <c r="K4" s="32" t="s">
        <v>7</v>
      </c>
      <c r="L4" s="33">
        <v>1880</v>
      </c>
      <c r="N4" s="32" t="s">
        <v>11</v>
      </c>
      <c r="O4" s="34">
        <v>560</v>
      </c>
    </row>
    <row r="5" spans="2:15">
      <c r="B5" s="32" t="s">
        <v>12</v>
      </c>
      <c r="C5" s="33">
        <v>800</v>
      </c>
      <c r="D5" s="34">
        <v>440</v>
      </c>
      <c r="G5" s="32" t="s">
        <v>13</v>
      </c>
      <c r="H5" s="33">
        <v>920</v>
      </c>
      <c r="I5" s="34">
        <v>480</v>
      </c>
      <c r="K5" s="32" t="s">
        <v>24</v>
      </c>
      <c r="L5" s="33">
        <v>3860</v>
      </c>
      <c r="N5" s="32" t="s">
        <v>9</v>
      </c>
      <c r="O5" s="34">
        <v>520</v>
      </c>
    </row>
    <row r="6" spans="2:15">
      <c r="B6" s="32" t="s">
        <v>13</v>
      </c>
      <c r="C6" s="33">
        <v>920</v>
      </c>
      <c r="D6" s="34">
        <v>480</v>
      </c>
      <c r="G6" s="32" t="s">
        <v>14</v>
      </c>
      <c r="H6" s="33">
        <v>1240</v>
      </c>
      <c r="I6" s="34">
        <v>660</v>
      </c>
      <c r="N6" s="32" t="s">
        <v>24</v>
      </c>
      <c r="O6" s="34">
        <v>2080</v>
      </c>
    </row>
    <row r="7" spans="2:15">
      <c r="B7" s="32" t="s">
        <v>14</v>
      </c>
      <c r="C7" s="33">
        <v>1240</v>
      </c>
      <c r="D7" s="34">
        <v>660</v>
      </c>
      <c r="G7" s="32" t="s">
        <v>24</v>
      </c>
      <c r="H7" s="33">
        <v>3860</v>
      </c>
      <c r="I7" s="34">
        <v>2080</v>
      </c>
      <c r="K7" t="s">
        <v>5</v>
      </c>
      <c r="L7" t="s">
        <v>25</v>
      </c>
    </row>
    <row r="8" spans="2:15">
      <c r="B8" s="32" t="s">
        <v>24</v>
      </c>
      <c r="C8" s="33">
        <v>3860</v>
      </c>
      <c r="D8" s="34">
        <v>2080</v>
      </c>
      <c r="K8" t="s">
        <v>4</v>
      </c>
      <c r="L8" t="s">
        <v>25</v>
      </c>
    </row>
    <row r="9" spans="2:15">
      <c r="G9" t="s">
        <v>18</v>
      </c>
      <c r="H9" t="s">
        <v>20</v>
      </c>
    </row>
    <row r="10" spans="2:15">
      <c r="G10" s="32" t="s">
        <v>8</v>
      </c>
      <c r="H10" s="34">
        <v>400</v>
      </c>
      <c r="K10" t="s">
        <v>19</v>
      </c>
      <c r="L10" t="s">
        <v>20</v>
      </c>
      <c r="M10" t="s">
        <v>21</v>
      </c>
      <c r="N10" t="s">
        <v>26</v>
      </c>
    </row>
    <row r="11" spans="2:15">
      <c r="G11" s="32" t="s">
        <v>12</v>
      </c>
      <c r="H11" s="34">
        <v>360</v>
      </c>
      <c r="K11" s="33">
        <v>3860</v>
      </c>
      <c r="L11" s="34">
        <v>1780</v>
      </c>
      <c r="M11" s="34">
        <v>2080</v>
      </c>
      <c r="N11" s="33">
        <v>241.25</v>
      </c>
    </row>
    <row r="12" spans="2:15">
      <c r="G12" s="32" t="s">
        <v>13</v>
      </c>
      <c r="H12" s="34">
        <v>440</v>
      </c>
    </row>
    <row r="13" spans="2:15">
      <c r="B13" t="s">
        <v>18</v>
      </c>
      <c r="C13" t="s">
        <v>19</v>
      </c>
      <c r="G13" s="32" t="s">
        <v>14</v>
      </c>
      <c r="H13" s="34">
        <v>580</v>
      </c>
    </row>
    <row r="14" spans="2:15">
      <c r="B14" s="32" t="s">
        <v>7</v>
      </c>
      <c r="C14" s="33">
        <v>1880</v>
      </c>
      <c r="G14" s="32" t="s">
        <v>24</v>
      </c>
      <c r="H14" s="34">
        <v>1780</v>
      </c>
    </row>
    <row r="15" spans="2:15">
      <c r="B15" s="32" t="s">
        <v>10</v>
      </c>
      <c r="C15" s="33">
        <v>1980</v>
      </c>
    </row>
    <row r="16" spans="2:15">
      <c r="B16" s="32" t="s">
        <v>24</v>
      </c>
      <c r="C16" s="33">
        <v>3860</v>
      </c>
    </row>
    <row r="20" spans="3:4">
      <c r="C20" t="s">
        <v>18</v>
      </c>
      <c r="D20" t="s">
        <v>21</v>
      </c>
    </row>
    <row r="21" spans="3:4">
      <c r="C21" s="32" t="s">
        <v>6</v>
      </c>
      <c r="D21" s="34">
        <v>1000</v>
      </c>
    </row>
    <row r="22" spans="3:4">
      <c r="C22" s="32" t="s">
        <v>9</v>
      </c>
      <c r="D22" s="34">
        <v>520</v>
      </c>
    </row>
    <row r="23" spans="3:4">
      <c r="C23" s="32" t="s">
        <v>11</v>
      </c>
      <c r="D23" s="34">
        <v>560</v>
      </c>
    </row>
    <row r="24" spans="3:4">
      <c r="C24" s="32" t="s">
        <v>24</v>
      </c>
      <c r="D24" s="34">
        <v>2080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4" zoomScaleNormal="84" workbookViewId="0">
      <selection activeCell="H6" sqref="H6"/>
    </sheetView>
  </sheetViews>
  <sheetFormatPr defaultColWidth="9" defaultRowHeight="13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2"/>
  <sheetViews>
    <sheetView showGridLines="0" tabSelected="1" zoomScale="58" zoomScaleNormal="58" workbookViewId="0">
      <selection activeCell="P25" sqref="P25"/>
    </sheetView>
  </sheetViews>
  <sheetFormatPr defaultColWidth="8.796875" defaultRowHeight="13.8"/>
  <cols>
    <col min="1" max="7" width="15.69921875" style="1" customWidth="1"/>
    <col min="8" max="8" width="15.59765625" style="1" customWidth="1"/>
    <col min="9" max="9" width="19.8984375" style="1" customWidth="1"/>
    <col min="10" max="10" width="16" style="1" customWidth="1"/>
    <col min="11" max="11" width="19.8984375" style="1" customWidth="1"/>
    <col min="12" max="14" width="15.69921875" style="1" customWidth="1"/>
    <col min="15" max="15" width="15" style="1" customWidth="1"/>
    <col min="16" max="16" width="19.3984375" style="1" customWidth="1"/>
    <col min="17" max="17" width="15" style="1" customWidth="1"/>
    <col min="18" max="18" width="18.796875" style="1" customWidth="1"/>
    <col min="19" max="20" width="8.796875" style="1"/>
    <col min="21" max="21" width="15.796875" style="1" customWidth="1"/>
    <col min="22" max="22" width="20.3984375" style="1" customWidth="1"/>
    <col min="23" max="23" width="15.796875" style="1" customWidth="1"/>
    <col min="24" max="24" width="19.796875" style="1" customWidth="1"/>
    <col min="25" max="16384" width="8.796875" style="1"/>
  </cols>
  <sheetData>
    <row r="1" spans="1:36" ht="13.8" customHeight="1">
      <c r="A1" s="54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</row>
    <row r="2" spans="1:36" ht="13.8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4" spans="1:36" ht="22.8">
      <c r="B4" s="45" t="s">
        <v>28</v>
      </c>
      <c r="C4" s="46"/>
      <c r="D4" s="47"/>
      <c r="F4" s="45" t="s">
        <v>29</v>
      </c>
      <c r="G4" s="46"/>
      <c r="H4" s="47"/>
      <c r="J4" s="45" t="s">
        <v>30</v>
      </c>
      <c r="K4" s="46"/>
      <c r="L4" s="47"/>
      <c r="N4" s="58" t="s">
        <v>31</v>
      </c>
      <c r="O4" s="59"/>
      <c r="P4" s="59"/>
      <c r="Q4" s="59"/>
      <c r="R4" s="59"/>
      <c r="S4" s="59"/>
      <c r="T4" s="60"/>
    </row>
    <row r="5" spans="1:36">
      <c r="B5" s="2"/>
      <c r="C5" s="3"/>
      <c r="D5" s="4"/>
      <c r="F5" s="2"/>
      <c r="G5" s="3"/>
      <c r="H5" s="4"/>
      <c r="J5" s="2"/>
      <c r="K5" s="3"/>
      <c r="L5" s="4"/>
      <c r="N5" s="5"/>
      <c r="O5" s="6"/>
      <c r="P5" s="6"/>
      <c r="Q5" s="6"/>
      <c r="R5" s="6"/>
      <c r="S5" s="6"/>
      <c r="T5" s="7"/>
    </row>
    <row r="6" spans="1:36" ht="22.8" customHeight="1">
      <c r="B6" s="48">
        <f>GETPIVOTDATA("Sum of Sales",Pivot_Tables!$K$10)</f>
        <v>3860</v>
      </c>
      <c r="C6" s="49"/>
      <c r="D6" s="50"/>
      <c r="F6" s="61">
        <f>GETPIVOTDATA("Profit",Pivot_Tables!$N$2)/GETPIVOTDATA("Sales",Pivot_Tables!$K$2)</f>
        <v>0.53886010362694303</v>
      </c>
      <c r="G6" s="62"/>
      <c r="H6" s="63"/>
      <c r="J6" s="48">
        <f>GETPIVOTDATA("Sum of Profit",Pivot_Tables!$K$10)</f>
        <v>2080</v>
      </c>
      <c r="K6" s="49"/>
      <c r="L6" s="50"/>
      <c r="N6" s="43" t="str">
        <f>"Focus on "&amp;F18&amp;" in "&amp;F12&amp;", as it currently delivers highest overall performance."</f>
        <v>Focus on Product A in Region 2, as it currently delivers highest overall performance.</v>
      </c>
      <c r="O6" s="44"/>
      <c r="P6" s="44"/>
      <c r="Q6" s="44"/>
      <c r="R6" s="44"/>
      <c r="S6" s="44"/>
      <c r="T6" s="7"/>
    </row>
    <row r="7" spans="1:36" ht="14.4" customHeight="1">
      <c r="B7" s="8"/>
      <c r="C7" s="9"/>
      <c r="D7" s="10"/>
      <c r="F7" s="8"/>
      <c r="G7" s="9"/>
      <c r="H7" s="10"/>
      <c r="J7" s="8"/>
      <c r="K7" s="9"/>
      <c r="L7" s="10"/>
      <c r="N7" s="43"/>
      <c r="O7" s="44"/>
      <c r="P7" s="44"/>
      <c r="Q7" s="44"/>
      <c r="R7" s="44"/>
      <c r="S7" s="44"/>
      <c r="T7" s="7"/>
    </row>
    <row r="8" spans="1:36" ht="13.8" customHeight="1">
      <c r="N8" s="43"/>
      <c r="O8" s="44"/>
      <c r="P8" s="44"/>
      <c r="Q8" s="44"/>
      <c r="R8" s="44"/>
      <c r="S8" s="44"/>
      <c r="T8" s="7"/>
    </row>
    <row r="9" spans="1:36" ht="14.4" customHeight="1">
      <c r="N9" s="43"/>
      <c r="O9" s="44"/>
      <c r="P9" s="44"/>
      <c r="Q9" s="44"/>
      <c r="R9" s="44"/>
      <c r="S9" s="44"/>
      <c r="T9" s="7"/>
    </row>
    <row r="10" spans="1:36" ht="20.399999999999999" customHeight="1">
      <c r="B10" s="64" t="s">
        <v>35</v>
      </c>
      <c r="C10" s="46"/>
      <c r="D10" s="47"/>
      <c r="F10" s="45" t="s">
        <v>32</v>
      </c>
      <c r="G10" s="46"/>
      <c r="H10" s="47"/>
      <c r="J10" s="45" t="s">
        <v>33</v>
      </c>
      <c r="K10" s="46"/>
      <c r="L10" s="11"/>
      <c r="N10" s="5"/>
      <c r="O10" s="6"/>
      <c r="P10" s="6"/>
      <c r="Q10" s="6"/>
      <c r="R10" s="6"/>
      <c r="S10" s="6"/>
      <c r="T10" s="7"/>
    </row>
    <row r="11" spans="1:36">
      <c r="B11" s="2"/>
      <c r="C11" s="3"/>
      <c r="D11" s="4"/>
      <c r="F11" s="2"/>
      <c r="G11" s="3"/>
      <c r="H11" s="4"/>
      <c r="J11" s="2"/>
      <c r="K11" s="3"/>
      <c r="L11" s="4"/>
      <c r="N11" s="5"/>
      <c r="O11" s="6"/>
      <c r="P11" s="6"/>
      <c r="Q11" s="6"/>
      <c r="R11" s="6"/>
      <c r="S11" s="6"/>
      <c r="T11" s="7"/>
    </row>
    <row r="12" spans="1:36" ht="22.8">
      <c r="B12" s="55">
        <f>COUNTA(sales_tbl[Product])</f>
        <v>16</v>
      </c>
      <c r="C12" s="56"/>
      <c r="D12" s="57"/>
      <c r="F12" s="48" t="str">
        <f>Pivot_Tables!K3</f>
        <v>Region 2</v>
      </c>
      <c r="G12" s="49"/>
      <c r="H12" s="50"/>
      <c r="J12" s="48">
        <f>GETPIVOTDATA("Sum of Expenses",Pivot_Tables!$K$10)</f>
        <v>1780</v>
      </c>
      <c r="K12" s="49"/>
      <c r="L12" s="50"/>
      <c r="N12" s="12"/>
      <c r="O12" s="13"/>
      <c r="P12" s="13"/>
      <c r="Q12" s="13"/>
      <c r="R12" s="13"/>
      <c r="S12" s="13"/>
      <c r="T12" s="14"/>
    </row>
    <row r="13" spans="1:36">
      <c r="B13" s="8"/>
      <c r="C13" s="9"/>
      <c r="D13" s="10"/>
      <c r="F13" s="8"/>
      <c r="G13" s="9"/>
      <c r="H13" s="10"/>
      <c r="J13" s="8"/>
      <c r="K13" s="9"/>
      <c r="L13" s="10"/>
    </row>
    <row r="16" spans="1:36" ht="17.399999999999999">
      <c r="B16" s="45" t="s">
        <v>15</v>
      </c>
      <c r="C16" s="46"/>
      <c r="D16" s="11"/>
      <c r="F16" s="45" t="s">
        <v>34</v>
      </c>
      <c r="G16" s="46"/>
      <c r="H16" s="47"/>
      <c r="N16" s="15"/>
      <c r="O16" s="16" t="s">
        <v>5</v>
      </c>
      <c r="P16" s="17" t="s">
        <v>25</v>
      </c>
      <c r="Q16" s="18"/>
      <c r="R16" s="18"/>
      <c r="S16" s="19"/>
    </row>
    <row r="17" spans="2:19">
      <c r="B17" s="2"/>
      <c r="C17" s="3"/>
      <c r="D17" s="4"/>
      <c r="F17" s="2"/>
      <c r="G17" s="3"/>
      <c r="H17" s="4"/>
      <c r="N17" s="20"/>
      <c r="O17" s="16" t="s">
        <v>4</v>
      </c>
      <c r="P17" s="17" t="s">
        <v>25</v>
      </c>
      <c r="Q17" s="21"/>
      <c r="R17" s="21"/>
      <c r="S17" s="22"/>
    </row>
    <row r="18" spans="2:19" ht="22.8">
      <c r="B18" s="48">
        <f>GETPIVOTDATA("Average of Sales",Pivot_Tables!$K$10)</f>
        <v>241.25</v>
      </c>
      <c r="C18" s="49"/>
      <c r="D18" s="50"/>
      <c r="F18" s="51" t="str">
        <f>Pivot_Tables!N3</f>
        <v>Product A</v>
      </c>
      <c r="G18" s="52"/>
      <c r="H18" s="53"/>
      <c r="N18" s="20"/>
      <c r="O18" s="21"/>
      <c r="P18" s="21"/>
      <c r="Q18" s="21"/>
      <c r="R18" s="21"/>
      <c r="S18" s="22"/>
    </row>
    <row r="19" spans="2:19">
      <c r="B19" s="8"/>
      <c r="C19" s="9"/>
      <c r="D19" s="10"/>
      <c r="F19" s="8"/>
      <c r="G19" s="9"/>
      <c r="H19" s="10"/>
      <c r="N19" s="20"/>
      <c r="O19" s="16" t="s">
        <v>19</v>
      </c>
      <c r="P19" s="23" t="s">
        <v>20</v>
      </c>
      <c r="Q19" s="23" t="s">
        <v>21</v>
      </c>
      <c r="R19" s="17" t="s">
        <v>26</v>
      </c>
      <c r="S19" s="22"/>
    </row>
    <row r="20" spans="2:19">
      <c r="N20" s="20"/>
      <c r="O20" s="24">
        <v>3860</v>
      </c>
      <c r="P20" s="25">
        <v>1780</v>
      </c>
      <c r="Q20" s="25">
        <v>2080</v>
      </c>
      <c r="R20" s="26">
        <v>241.25</v>
      </c>
      <c r="S20" s="22"/>
    </row>
    <row r="21" spans="2:19">
      <c r="N21" s="27"/>
      <c r="O21" s="28"/>
      <c r="P21" s="28"/>
      <c r="Q21" s="28"/>
      <c r="R21" s="28"/>
      <c r="S21" s="29"/>
    </row>
    <row r="160" spans="6:9">
      <c r="F160" s="30"/>
      <c r="G160" s="31"/>
      <c r="H160" s="31"/>
      <c r="I160" s="30"/>
    </row>
    <row r="182" spans="13:14">
      <c r="M182" s="30"/>
      <c r="N182" s="31"/>
    </row>
  </sheetData>
  <mergeCells count="21">
    <mergeCell ref="B18:D18"/>
    <mergeCell ref="F18:H18"/>
    <mergeCell ref="A1:L2"/>
    <mergeCell ref="B10:D10"/>
    <mergeCell ref="F10:H10"/>
    <mergeCell ref="J10:K10"/>
    <mergeCell ref="B12:D12"/>
    <mergeCell ref="F12:H12"/>
    <mergeCell ref="J12:L12"/>
    <mergeCell ref="B4:D4"/>
    <mergeCell ref="F4:H4"/>
    <mergeCell ref="J4:L4"/>
    <mergeCell ref="B6:D6"/>
    <mergeCell ref="F6:H6"/>
    <mergeCell ref="J6:L6"/>
    <mergeCell ref="M1:X2"/>
    <mergeCell ref="Y1:AJ2"/>
    <mergeCell ref="N6:S9"/>
    <mergeCell ref="B16:C16"/>
    <mergeCell ref="F16:H16"/>
    <mergeCell ref="N4:T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KPI_Calculations</vt:lpstr>
      <vt:lpstr>Pivot_Tables</vt:lpstr>
      <vt:lpstr>Pivot_Charts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Shaveta Sood</cp:lastModifiedBy>
  <dcterms:created xsi:type="dcterms:W3CDTF">2023-06-15T10:22:00Z</dcterms:created>
  <dcterms:modified xsi:type="dcterms:W3CDTF">2026-08-19T10:16:30Z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B80BBFC76DD34379BF1B7D6443672B8E_12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